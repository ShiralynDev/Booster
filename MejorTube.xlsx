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<sst xmlns="http://schemas.openxmlformats.org/spreadsheetml/2006/main" count="36" uniqueCount="36">
  <si>
    <t>Forced ads</t>
  </si>
  <si>
    <t>Rewarded voluntary ads</t>
  </si>
  <si>
    <t>Channel boost</t>
  </si>
  <si>
    <t>recommend channel + channel branding perks</t>
  </si>
  <si>
    <t>Donations to channel</t>
  </si>
  <si>
    <t>Memberships</t>
  </si>
  <si>
    <t>Forced ads per user per month</t>
  </si>
  <si>
    <t>1.3 forced ads per day per user</t>
  </si>
  <si>
    <t>Average voluntary ads for xp farming per user per month</t>
  </si>
  <si>
    <t>Expected level 1 users</t>
  </si>
  <si>
    <t>Probabilities assigned heuristically</t>
  </si>
  <si>
    <t>donor rate per month</t>
  </si>
  <si>
    <t>Users  (Active)</t>
  </si>
  <si>
    <t>Platform part from voluntary ad</t>
  </si>
  <si>
    <t>Expected level 2 users</t>
  </si>
  <si>
    <t>min-donation</t>
  </si>
  <si>
    <t>Ad revenue per 1000 impression (us) (CPM)</t>
  </si>
  <si>
    <t xml:space="preserve">Creator part from voluntary ad </t>
  </si>
  <si>
    <t>Expected level 3 users</t>
  </si>
  <si>
    <t>max-donation</t>
  </si>
  <si>
    <t>Creator part (ad revenue)</t>
  </si>
  <si>
    <t xml:space="preserve">Total voluntary ads </t>
  </si>
  <si>
    <t xml:space="preserve">Level 1 price </t>
  </si>
  <si>
    <t>average donation revenue per user per month</t>
  </si>
  <si>
    <t>Platform part (ad revenue)</t>
  </si>
  <si>
    <t>Total platform revenue</t>
  </si>
  <si>
    <t>Level 2 price</t>
  </si>
  <si>
    <t>platform intake</t>
  </si>
  <si>
    <t>Total ads impressions</t>
  </si>
  <si>
    <t>Level 3 price</t>
  </si>
  <si>
    <t>creator intake</t>
  </si>
  <si>
    <t xml:space="preserve">Total platform forced ad revenue </t>
  </si>
  <si>
    <t>Total expected revenue per month</t>
  </si>
  <si>
    <t>total monthly revenue (platform)</t>
  </si>
  <si>
    <t>Total ad revenue  per month</t>
  </si>
  <si>
    <t>total revenue per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</si>
</sst>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3" xfId="0" applyAlignment="1" applyFont="1" applyNumberFormat="1">
      <alignment readingOrder="0"/>
    </xf>
    <xf borderId="0" fillId="3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3" max="3" width="26.25"/>
    <col customWidth="1" min="5" max="5" width="42.63"/>
    <col customWidth="1" min="8" max="8" width="18.5"/>
    <col customWidth="1" min="9" max="9" width="35.13"/>
    <col customWidth="1" min="13" max="13" width="24.38"/>
  </cols>
  <sheetData>
    <row r="1">
      <c r="A1" s="1" t="s">
        <v>0</v>
      </c>
      <c r="E1" s="2" t="s">
        <v>1</v>
      </c>
      <c r="H1" s="1" t="s">
        <v>2</v>
      </c>
      <c r="I1" s="3" t="s">
        <v>3</v>
      </c>
      <c r="M1" s="3" t="s">
        <v>4</v>
      </c>
      <c r="P1" s="3" t="s">
        <v>5</v>
      </c>
    </row>
    <row r="2">
      <c r="A2" s="3" t="s">
        <v>6</v>
      </c>
      <c r="B2" s="3">
        <v>40.0</v>
      </c>
      <c r="C2" s="3" t="s">
        <v>7</v>
      </c>
      <c r="E2" s="3" t="s">
        <v>8</v>
      </c>
      <c r="F2" s="3">
        <v>20.0</v>
      </c>
      <c r="H2" s="3" t="s">
        <v>9</v>
      </c>
      <c r="I2" s="4">
        <f>B3*0.01</f>
        <v>1000</v>
      </c>
      <c r="J2" s="3" t="s">
        <v>10</v>
      </c>
      <c r="M2" s="3" t="s">
        <v>11</v>
      </c>
      <c r="N2" s="3">
        <v>0.005</v>
      </c>
    </row>
    <row r="3">
      <c r="A3" s="3" t="s">
        <v>12</v>
      </c>
      <c r="B3" s="5">
        <v>100000.0</v>
      </c>
      <c r="E3" s="3" t="s">
        <v>13</v>
      </c>
      <c r="F3" s="3">
        <v>0.8</v>
      </c>
      <c r="H3" s="3" t="s">
        <v>14</v>
      </c>
      <c r="I3" s="4">
        <f>B3*0.002</f>
        <v>200</v>
      </c>
      <c r="M3" s="3" t="s">
        <v>15</v>
      </c>
      <c r="N3" s="3">
        <v>1.0</v>
      </c>
    </row>
    <row r="4">
      <c r="A4" s="3" t="s">
        <v>16</v>
      </c>
      <c r="B4" s="3">
        <v>5.0</v>
      </c>
      <c r="E4" s="3" t="s">
        <v>17</v>
      </c>
      <c r="F4" s="4">
        <f>1-F3</f>
        <v>0.2</v>
      </c>
      <c r="H4" s="3" t="s">
        <v>18</v>
      </c>
      <c r="I4" s="4">
        <f>B3*0.0001</f>
        <v>10</v>
      </c>
      <c r="M4" s="3" t="s">
        <v>19</v>
      </c>
      <c r="N4" s="3">
        <v>100.0</v>
      </c>
    </row>
    <row r="5">
      <c r="A5" s="3" t="s">
        <v>20</v>
      </c>
      <c r="B5" s="3">
        <v>0.7</v>
      </c>
      <c r="E5" s="3" t="s">
        <v>21</v>
      </c>
      <c r="F5" s="4">
        <f>F2*B3</f>
        <v>2000000</v>
      </c>
      <c r="H5" s="3" t="s">
        <v>22</v>
      </c>
      <c r="I5" s="3">
        <v>2.99</v>
      </c>
      <c r="M5" s="3" t="s">
        <v>23</v>
      </c>
      <c r="N5" s="4">
        <f>AVERAGE(N3:N4) * N2</f>
        <v>0.2525</v>
      </c>
    </row>
    <row r="6">
      <c r="A6" s="3" t="s">
        <v>24</v>
      </c>
      <c r="B6" s="3">
        <f>1-B5</f>
        <v>0.3</v>
      </c>
      <c r="E6" s="3" t="s">
        <v>25</v>
      </c>
      <c r="F6" s="4">
        <f>(F3/1000)*F5*B4</f>
        <v>8000</v>
      </c>
      <c r="H6" s="3" t="s">
        <v>26</v>
      </c>
      <c r="I6" s="3">
        <v>4.99</v>
      </c>
      <c r="M6" s="3" t="s">
        <v>27</v>
      </c>
      <c r="N6" s="3">
        <v>0.2</v>
      </c>
    </row>
    <row r="7">
      <c r="A7" s="3" t="s">
        <v>28</v>
      </c>
      <c r="B7" s="4">
        <f>B3*B2</f>
        <v>4000000</v>
      </c>
      <c r="H7" s="3" t="s">
        <v>29</v>
      </c>
      <c r="I7" s="3">
        <v>8.99</v>
      </c>
      <c r="M7" s="3" t="s">
        <v>30</v>
      </c>
      <c r="N7" s="3">
        <v>0.8</v>
      </c>
    </row>
    <row r="8">
      <c r="A8" s="3" t="s">
        <v>31</v>
      </c>
      <c r="B8" s="6">
        <f>(B7/1000)*B6*(B4)</f>
        <v>6000</v>
      </c>
      <c r="H8" s="3" t="s">
        <v>32</v>
      </c>
      <c r="I8" s="4">
        <f>I5*I2+I6*I3+I7*I4</f>
        <v>4077.9</v>
      </c>
      <c r="M8" s="3" t="s">
        <v>33</v>
      </c>
      <c r="N8" s="4">
        <f>N6*N5*B3</f>
        <v>5050</v>
      </c>
    </row>
    <row r="10">
      <c r="A10" s="3" t="s">
        <v>34</v>
      </c>
      <c r="B10" s="4">
        <f>B8+F6</f>
        <v>14000</v>
      </c>
    </row>
    <row r="19">
      <c r="A19" s="3" t="s">
        <v>35</v>
      </c>
      <c r="B19" s="4">
        <f>B10+I8+N8</f>
        <v>23127.9</v>
      </c>
    </row>
  </sheetData>
  <drawing r:id="rId1"/>
</worksheet>
</file>